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Antonio Detalle" sheetId="2" state="visible" r:id="rId4"/>
    <sheet name="Cristian Detal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<sst xmlns="http://schemas.openxmlformats.org/spreadsheetml/2006/main" count="174" uniqueCount="87">
  <si>
    <t xml:space="preserve">DEUDAS DE INSULAR SPA CON SOCIOS</t>
  </si>
  <si>
    <t xml:space="preserve">Gastos personales por construcción — Insular debe reembolsar</t>
  </si>
  <si>
    <t xml:space="preserve">Socio</t>
  </si>
  <si>
    <t xml:space="preserve">Deuda Total</t>
  </si>
  <si>
    <t xml:space="preserve">Antonio Díaz (Inv. Acuña)</t>
  </si>
  <si>
    <t xml:space="preserve">Cristian Segovia</t>
  </si>
  <si>
    <t xml:space="preserve">TOTAL DEUDA INSULAR</t>
  </si>
  <si>
    <t xml:space="preserve">GASTOS PERSONALES — ANTONIO DÍAZ (INV. ACUÑA)</t>
  </si>
  <si>
    <t xml:space="preserve">#</t>
  </si>
  <si>
    <t xml:space="preserve">Fecha</t>
  </si>
  <si>
    <t xml:space="preserve">Concepto</t>
  </si>
  <si>
    <t xml:space="preserve">Tarjeta</t>
  </si>
  <si>
    <t xml:space="preserve">Monto CLP</t>
  </si>
  <si>
    <t xml:space="preserve">VIAJE FEB 19-20, 2025</t>
  </si>
  <si>
    <t xml:space="preserve">19-20/02/2025</t>
  </si>
  <si>
    <t xml:space="preserve">Vuelo SCL↔PMC (LA0454883WIIY)</t>
  </si>
  <si>
    <t xml:space="preserve">LATAM</t>
  </si>
  <si>
    <t xml:space="preserve">Hostal Mundo Nuevo, Ancud</t>
  </si>
  <si>
    <t xml:space="preserve">Booking</t>
  </si>
  <si>
    <t xml:space="preserve">Arriendo auto Hyundai Creta</t>
  </si>
  <si>
    <t xml:space="preserve">VIAJE AGO 1, 2025</t>
  </si>
  <si>
    <t xml:space="preserve">01/08/2025</t>
  </si>
  <si>
    <t xml:space="preserve">Vuelo SCL↔PMC (LA0454354JBSD)</t>
  </si>
  <si>
    <t xml:space="preserve">Arriendo auto SUV, Alamo</t>
  </si>
  <si>
    <t xml:space="preserve">Alamo</t>
  </si>
  <si>
    <t xml:space="preserve">VIAJE NOV 22, 2025</t>
  </si>
  <si>
    <t xml:space="preserve">22/11/2025</t>
  </si>
  <si>
    <t xml:space="preserve">Vuelo SCL↔PMC (LA0451969XDQZ)</t>
  </si>
  <si>
    <t xml:space="preserve">Arriendo auto (=feb)</t>
  </si>
  <si>
    <t xml:space="preserve">Aramco, Pto Montt (bencina)</t>
  </si>
  <si>
    <t xml:space="preserve">Santander</t>
  </si>
  <si>
    <t xml:space="preserve">Ferry Nave Andrade</t>
  </si>
  <si>
    <t xml:space="preserve">Scotiabank</t>
  </si>
  <si>
    <t xml:space="preserve">Minimarket y Servicios, Ancud</t>
  </si>
  <si>
    <t xml:space="preserve">Polo Sur, Ancud</t>
  </si>
  <si>
    <t xml:space="preserve">Naviera Cruz del Sur (ferry)</t>
  </si>
  <si>
    <t xml:space="preserve">VIAJE DIC 17-19, 2025 (en auto)</t>
  </si>
  <si>
    <t xml:space="preserve">17/12/2025</t>
  </si>
  <si>
    <t xml:space="preserve">Copec App (bencina)</t>
  </si>
  <si>
    <t xml:space="preserve">Aramco, Collipulli (bencina ruta)</t>
  </si>
  <si>
    <t xml:space="preserve">Restorán Soler, Curicó</t>
  </si>
  <si>
    <t xml:space="preserve">Gastronomía Marinaquis, Chiloé</t>
  </si>
  <si>
    <t xml:space="preserve">Hotel Vista al Mar, Ancud</t>
  </si>
  <si>
    <t xml:space="preserve">Don Jaime, Ancud</t>
  </si>
  <si>
    <t xml:space="preserve">18/12/2025</t>
  </si>
  <si>
    <t xml:space="preserve">Diarasa (Dimarsa), Ancud</t>
  </si>
  <si>
    <t xml:space="preserve">Tenpo</t>
  </si>
  <si>
    <t xml:space="preserve">18-19/12/2025</t>
  </si>
  <si>
    <t xml:space="preserve">Vuelo PMC→SCL (LA0454000EQQQ)</t>
  </si>
  <si>
    <t xml:space="preserve">19/12/2025</t>
  </si>
  <si>
    <t xml:space="preserve">Amazon — repuestos van Astro</t>
  </si>
  <si>
    <t xml:space="preserve">Amazon</t>
  </si>
  <si>
    <t xml:space="preserve">VIAJE ENE 15-19, 2026</t>
  </si>
  <si>
    <t xml:space="preserve">15/01/2026</t>
  </si>
  <si>
    <t xml:space="preserve">Vuelo SCL↔PMC (LA0456648NYLX)</t>
  </si>
  <si>
    <t xml:space="preserve">LATAM ATO Santiago</t>
  </si>
  <si>
    <t xml:space="preserve">Aramco, Santiago (bencina)</t>
  </si>
  <si>
    <t xml:space="preserve">Lider.cl (compra web)</t>
  </si>
  <si>
    <t xml:space="preserve">Lider.cl (devolución)</t>
  </si>
  <si>
    <t xml:space="preserve">We Transport</t>
  </si>
  <si>
    <t xml:space="preserve">16/01/2026</t>
  </si>
  <si>
    <t xml:space="preserve">El Trauco (ferry)</t>
  </si>
  <si>
    <t xml:space="preserve">17/01/2026</t>
  </si>
  <si>
    <t xml:space="preserve">Restaurant Artesanos, Ancud</t>
  </si>
  <si>
    <t xml:space="preserve">Erwin Meynet, Ancud (3 cargos)</t>
  </si>
  <si>
    <t xml:space="preserve">El Chilote Mena, Ancud</t>
  </si>
  <si>
    <t xml:space="preserve">Ferretería Loa Sur, Ancud</t>
  </si>
  <si>
    <t xml:space="preserve">Comercial Sotavento, Ancud</t>
  </si>
  <si>
    <t xml:space="preserve">Comercial Diancu — Dimarsa (débito)</t>
  </si>
  <si>
    <t xml:space="preserve">Comercial Diancu — Dimarsa (3 cuotas)</t>
  </si>
  <si>
    <t xml:space="preserve">19/01/2026</t>
  </si>
  <si>
    <t xml:space="preserve">Aeropuerto del Sur, Pto Montt</t>
  </si>
  <si>
    <t xml:space="preserve">Cruz del Sur (ferry), Ancud</t>
  </si>
  <si>
    <t xml:space="preserve">VIAJE FEB 11-16, 2026 (personal, gastos Insular)</t>
  </si>
  <si>
    <t xml:space="preserve">11/02/2026</t>
  </si>
  <si>
    <t xml:space="preserve">Estac. Aeropuerto del Sur</t>
  </si>
  <si>
    <t xml:space="preserve">Kataik, Pto Montt</t>
  </si>
  <si>
    <t xml:space="preserve">13/02/2026</t>
  </si>
  <si>
    <t xml:space="preserve">Electro Hogar, Ancud</t>
  </si>
  <si>
    <t xml:space="preserve">16/02/2026</t>
  </si>
  <si>
    <t xml:space="preserve">Aeropuerto del Sur</t>
  </si>
  <si>
    <t xml:space="preserve">Nave El Trauco (ferry)</t>
  </si>
  <si>
    <t xml:space="preserve">TOTAL DEUDA INSULAR → ANTONIO</t>
  </si>
  <si>
    <t xml:space="preserve">GASTOS PERSONALES — CRISTIAN SEGOVIA</t>
  </si>
  <si>
    <t xml:space="preserve">Detalle pendiente — total informado por el socio</t>
  </si>
  <si>
    <t xml:space="preserve">Total gastos construcción (sin desglose aún)</t>
  </si>
  <si>
    <t xml:space="preserve">TOTAL DEUDA INSULAR → CRISTIAN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</si>
</sst>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D2926"/>
      <name val="Arial"/>
      <family val="0"/>
      <charset val="1"/>
    </font>
    <font>
      <i val="true"/>
      <sz val="10"/>
      <color rgb="FF8B7E74"/>
      <name val="Arial"/>
      <family val="0"/>
      <charset val="1"/>
    </font>
    <font>
      <b val="true"/>
      <sz val="11"/>
      <color rgb="FF5C554E"/>
      <name val="Arial"/>
      <family val="0"/>
      <charset val="1"/>
    </font>
    <font>
      <sz val="11"/>
      <color rgb="FF2D292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5C554E"/>
      <name val="Arial"/>
      <family val="0"/>
      <charset val="1"/>
    </font>
    <font>
      <sz val="9"/>
      <color rgb="FF8B7E74"/>
      <name val="Arial"/>
      <family val="0"/>
      <charset val="1"/>
    </font>
    <font>
      <sz val="10"/>
      <color rgb="FF2D2926"/>
      <name val="Arial"/>
      <family val="0"/>
      <charset val="1"/>
    </font>
    <font>
      <sz val="10"/>
      <color rgb="FF8B7E74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0EBE5"/>
        <bgColor rgb="FFE7E0D8"/>
      </patternFill>
    </fill>
    <fill>
      <patternFill patternType="solid">
        <fgColor rgb="FF5C554E"/>
        <bgColor rgb="FF333399"/>
      </patternFill>
    </fill>
    <fill>
      <patternFill patternType="solid">
        <fgColor rgb="FFE7E0D8"/>
        <bgColor rgb="FFF0EBE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D4CDC5"/>
      </bottom>
      <diagonal/>
    </border>
    <border diagonalUp="false" diagonalDown="false">
      <left/>
      <right/>
      <top/>
      <bottom style="thin">
        <color rgb="FFD4CD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CDC5"/>
      <rgbColor rgb="FF8B7E74"/>
      <rgbColor rgb="FF9999FF"/>
      <rgbColor rgb="FF993366"/>
      <rgbColor rgb="FFF0EBE5"/>
      <rgbColor rgb="FFCCFFFF"/>
      <rgbColor rgb="FF660066"/>
      <rgbColor rgb="FFFF8080"/>
      <rgbColor rgb="FF0066CC"/>
      <rgbColor rgb="FFE7E0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54E"/>
      <rgbColor rgb="FFA68B6B"/>
      <rgbColor rgb="FF003366"/>
      <rgbColor rgb="FF6B8F8B"/>
      <rgbColor rgb="FF003300"/>
      <rgbColor rgb="FF333300"/>
      <rgbColor rgb="FF993300"/>
      <rgbColor rgb="FF993366"/>
      <rgbColor rgb="FF333399"/>
      <rgbColor rgb="FF2D29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C554E"/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0</v>
      </c>
      <c r="B1" s="2"/>
      <c r="C1" s="2"/>
    </row>
    <row r="3" customFormat="false" ht="15" hidden="false" customHeight="true" outlineLevel="0" collapsed="false">
      <c r="A3" s="3" t="s">
        <v>1</v>
      </c>
      <c r="B3" s="3"/>
      <c r="C3" s="3"/>
    </row>
    <row r="5" customFormat="false" ht="15" hidden="false" customHeight="true" outlineLevel="0" collapsed="false">
      <c r="A5" s="4"/>
      <c r="B5" s="5" t="s">
        <v>2</v>
      </c>
      <c r="C5" s="6" t="s">
        <v>3</v>
      </c>
    </row>
    <row r="6" customFormat="false" ht="15" hidden="false" customHeight="true" outlineLevel="0" collapsed="false">
      <c r="B6" s="7" t="s">
        <v>4</v>
      </c>
      <c r="C6" s="8" t="n">
        <f aca="false">'Antonio Detalle'!E59</f>
        <v>6448881</v>
      </c>
    </row>
    <row r="7" customFormat="false" ht="15" hidden="false" customHeight="true" outlineLevel="0" collapsed="false">
      <c r="B7" s="7" t="s">
        <v>5</v>
      </c>
      <c r="C7" s="9" t="n">
        <v>12206287</v>
      </c>
    </row>
    <row r="9" customFormat="false" ht="15.75" hidden="false" customHeight="true" outlineLevel="0" collapsed="false">
      <c r="A9" s="10"/>
      <c r="B9" s="11" t="s">
        <v>6</v>
      </c>
      <c r="C9" s="12" t="n">
        <f aca="false">SUM(C6:C7)</f>
        <v>18655168</v>
      </c>
    </row>
  </sheetData>
  <mergeCells count="2">
    <mergeCell ref="A1:C1"/>
    <mergeCell ref="A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8F8B"/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42"/>
    <col collapsed="false" customWidth="true" hidden="false" outlineLevel="0" max="5" min="4" style="1" width="18"/>
  </cols>
  <sheetData>
    <row r="1" customFormat="false" ht="17.25" hidden="false" customHeight="true" outlineLevel="0" collapsed="false">
      <c r="A1" s="2" t="s">
        <v>7</v>
      </c>
      <c r="B1" s="2"/>
      <c r="C1" s="2"/>
      <c r="D1" s="2"/>
      <c r="E1" s="2"/>
    </row>
    <row r="3" customFormat="false" ht="15" hidden="false" customHeight="true" outlineLevel="0" collapsed="false">
      <c r="A3" s="13" t="s">
        <v>8</v>
      </c>
      <c r="B3" s="13" t="s">
        <v>9</v>
      </c>
      <c r="C3" s="13" t="s">
        <v>10</v>
      </c>
      <c r="D3" s="13" t="s">
        <v>11</v>
      </c>
      <c r="E3" s="13" t="s">
        <v>12</v>
      </c>
    </row>
    <row r="4" customFormat="false" ht="15" hidden="false" customHeight="true" outlineLevel="0" collapsed="false">
      <c r="A4" s="14" t="s">
        <v>13</v>
      </c>
      <c r="B4" s="14"/>
      <c r="C4" s="14"/>
      <c r="D4" s="14"/>
      <c r="E4" s="14"/>
    </row>
    <row r="5" customFormat="false" ht="15" hidden="false" customHeight="true" outlineLevel="0" collapsed="false">
      <c r="A5" s="15" t="n">
        <v>1</v>
      </c>
      <c r="B5" s="16" t="s">
        <v>14</v>
      </c>
      <c r="C5" s="16" t="s">
        <v>15</v>
      </c>
      <c r="D5" s="15" t="s">
        <v>16</v>
      </c>
      <c r="E5" s="17" t="n">
        <v>516158</v>
      </c>
    </row>
    <row r="6" customFormat="false" ht="15" hidden="false" customHeight="true" outlineLevel="0" collapsed="false">
      <c r="A6" s="15" t="n">
        <v>2</v>
      </c>
      <c r="B6" s="16" t="s">
        <v>14</v>
      </c>
      <c r="C6" s="16" t="s">
        <v>17</v>
      </c>
      <c r="D6" s="15" t="s">
        <v>18</v>
      </c>
      <c r="E6" s="17" t="n">
        <v>165657</v>
      </c>
    </row>
    <row r="7" customFormat="false" ht="15" hidden="false" customHeight="true" outlineLevel="0" collapsed="false">
      <c r="A7" s="15" t="n">
        <v>3</v>
      </c>
      <c r="B7" s="16" t="s">
        <v>14</v>
      </c>
      <c r="C7" s="16" t="s">
        <v>19</v>
      </c>
      <c r="D7" s="15" t="s">
        <v>18</v>
      </c>
      <c r="E7" s="17" t="n">
        <v>160908</v>
      </c>
    </row>
    <row r="8" customFormat="false" ht="15" hidden="false" customHeight="true" outlineLevel="0" collapsed="false">
      <c r="A8" s="14" t="s">
        <v>20</v>
      </c>
      <c r="B8" s="14"/>
      <c r="C8" s="14"/>
      <c r="D8" s="14"/>
      <c r="E8" s="14"/>
    </row>
    <row r="9" customFormat="false" ht="15" hidden="false" customHeight="true" outlineLevel="0" collapsed="false">
      <c r="A9" s="15" t="n">
        <v>4</v>
      </c>
      <c r="B9" s="16" t="s">
        <v>21</v>
      </c>
      <c r="C9" s="16" t="s">
        <v>22</v>
      </c>
      <c r="D9" s="15" t="s">
        <v>16</v>
      </c>
      <c r="E9" s="17" t="n">
        <v>634752</v>
      </c>
    </row>
    <row r="10" customFormat="false" ht="15" hidden="false" customHeight="true" outlineLevel="0" collapsed="false">
      <c r="A10" s="15" t="n">
        <v>5</v>
      </c>
      <c r="B10" s="16" t="s">
        <v>21</v>
      </c>
      <c r="C10" s="16" t="s">
        <v>23</v>
      </c>
      <c r="D10" s="15" t="s">
        <v>24</v>
      </c>
      <c r="E10" s="17" t="n">
        <v>108635</v>
      </c>
    </row>
    <row r="11" customFormat="false" ht="15" hidden="false" customHeight="true" outlineLevel="0" collapsed="false">
      <c r="A11" s="14" t="s">
        <v>25</v>
      </c>
      <c r="B11" s="14"/>
      <c r="C11" s="14"/>
      <c r="D11" s="14"/>
      <c r="E11" s="14"/>
    </row>
    <row r="12" customFormat="false" ht="15" hidden="false" customHeight="true" outlineLevel="0" collapsed="false">
      <c r="A12" s="15" t="n">
        <v>6</v>
      </c>
      <c r="B12" s="16" t="s">
        <v>26</v>
      </c>
      <c r="C12" s="16" t="s">
        <v>27</v>
      </c>
      <c r="D12" s="15" t="s">
        <v>16</v>
      </c>
      <c r="E12" s="17" t="n">
        <v>738586</v>
      </c>
    </row>
    <row r="13" customFormat="false" ht="15" hidden="false" customHeight="true" outlineLevel="0" collapsed="false">
      <c r="A13" s="15" t="n">
        <v>7</v>
      </c>
      <c r="B13" s="16" t="s">
        <v>26</v>
      </c>
      <c r="C13" s="16" t="s">
        <v>28</v>
      </c>
      <c r="D13" s="15" t="s">
        <v>18</v>
      </c>
      <c r="E13" s="17" t="n">
        <v>160908</v>
      </c>
    </row>
    <row r="14" customFormat="false" ht="15" hidden="false" customHeight="true" outlineLevel="0" collapsed="false">
      <c r="A14" s="15" t="n">
        <v>8</v>
      </c>
      <c r="B14" s="16" t="s">
        <v>26</v>
      </c>
      <c r="C14" s="16" t="s">
        <v>29</v>
      </c>
      <c r="D14" s="15" t="s">
        <v>30</v>
      </c>
      <c r="E14" s="17" t="n">
        <v>33506</v>
      </c>
    </row>
    <row r="15" customFormat="false" ht="15" hidden="false" customHeight="true" outlineLevel="0" collapsed="false">
      <c r="A15" s="15" t="n">
        <v>9</v>
      </c>
      <c r="B15" s="16" t="s">
        <v>26</v>
      </c>
      <c r="C15" s="16" t="s">
        <v>31</v>
      </c>
      <c r="D15" s="15" t="s">
        <v>32</v>
      </c>
      <c r="E15" s="17" t="n">
        <v>17000</v>
      </c>
    </row>
    <row r="16" customFormat="false" ht="15" hidden="false" customHeight="true" outlineLevel="0" collapsed="false">
      <c r="A16" s="15" t="n">
        <v>10</v>
      </c>
      <c r="B16" s="16" t="s">
        <v>26</v>
      </c>
      <c r="C16" s="16" t="s">
        <v>33</v>
      </c>
      <c r="D16" s="15" t="s">
        <v>32</v>
      </c>
      <c r="E16" s="17" t="n">
        <v>14500</v>
      </c>
    </row>
    <row r="17" customFormat="false" ht="15" hidden="false" customHeight="true" outlineLevel="0" collapsed="false">
      <c r="A17" s="15" t="n">
        <v>11</v>
      </c>
      <c r="B17" s="16" t="s">
        <v>26</v>
      </c>
      <c r="C17" s="16" t="s">
        <v>34</v>
      </c>
      <c r="D17" s="15" t="s">
        <v>32</v>
      </c>
      <c r="E17" s="17" t="n">
        <v>89540</v>
      </c>
    </row>
    <row r="18" customFormat="false" ht="15" hidden="false" customHeight="true" outlineLevel="0" collapsed="false">
      <c r="A18" s="15" t="n">
        <v>12</v>
      </c>
      <c r="B18" s="16" t="s">
        <v>26</v>
      </c>
      <c r="C18" s="16" t="s">
        <v>35</v>
      </c>
      <c r="D18" s="15" t="s">
        <v>32</v>
      </c>
      <c r="E18" s="17" t="n">
        <v>15000</v>
      </c>
    </row>
    <row r="19" customFormat="false" ht="15" hidden="false" customHeight="true" outlineLevel="0" collapsed="false">
      <c r="A19" s="14" t="s">
        <v>36</v>
      </c>
      <c r="B19" s="14"/>
      <c r="C19" s="14"/>
      <c r="D19" s="14"/>
      <c r="E19" s="14"/>
    </row>
    <row r="20" customFormat="false" ht="15" hidden="false" customHeight="true" outlineLevel="0" collapsed="false">
      <c r="A20" s="15" t="n">
        <v>13</v>
      </c>
      <c r="B20" s="16" t="s">
        <v>37</v>
      </c>
      <c r="C20" s="16" t="s">
        <v>38</v>
      </c>
      <c r="D20" s="15" t="s">
        <v>32</v>
      </c>
      <c r="E20" s="17" t="n">
        <v>95688</v>
      </c>
    </row>
    <row r="21" customFormat="false" ht="15" hidden="false" customHeight="true" outlineLevel="0" collapsed="false">
      <c r="A21" s="15" t="n">
        <v>14</v>
      </c>
      <c r="B21" s="16" t="s">
        <v>37</v>
      </c>
      <c r="C21" s="16" t="s">
        <v>39</v>
      </c>
      <c r="D21" s="15" t="s">
        <v>30</v>
      </c>
      <c r="E21" s="17" t="n">
        <v>100874</v>
      </c>
    </row>
    <row r="22" customFormat="false" ht="15" hidden="false" customHeight="true" outlineLevel="0" collapsed="false">
      <c r="A22" s="15" t="n">
        <v>15</v>
      </c>
      <c r="B22" s="16" t="s">
        <v>37</v>
      </c>
      <c r="C22" s="16" t="s">
        <v>29</v>
      </c>
      <c r="D22" s="15" t="s">
        <v>30</v>
      </c>
      <c r="E22" s="17" t="n">
        <v>92837</v>
      </c>
    </row>
    <row r="23" customFormat="false" ht="15" hidden="false" customHeight="true" outlineLevel="0" collapsed="false">
      <c r="A23" s="15" t="n">
        <v>16</v>
      </c>
      <c r="B23" s="16" t="s">
        <v>37</v>
      </c>
      <c r="C23" s="16" t="s">
        <v>40</v>
      </c>
      <c r="D23" s="15" t="s">
        <v>32</v>
      </c>
      <c r="E23" s="17" t="n">
        <v>27203</v>
      </c>
    </row>
    <row r="24" customFormat="false" ht="15" hidden="false" customHeight="true" outlineLevel="0" collapsed="false">
      <c r="A24" s="15" t="n">
        <v>17</v>
      </c>
      <c r="B24" s="16" t="s">
        <v>37</v>
      </c>
      <c r="C24" s="16" t="s">
        <v>41</v>
      </c>
      <c r="D24" s="15" t="s">
        <v>30</v>
      </c>
      <c r="E24" s="17" t="n">
        <v>65890</v>
      </c>
    </row>
    <row r="25" customFormat="false" ht="15" hidden="false" customHeight="true" outlineLevel="0" collapsed="false">
      <c r="A25" s="15" t="n">
        <v>18</v>
      </c>
      <c r="B25" s="16" t="s">
        <v>37</v>
      </c>
      <c r="C25" s="16" t="s">
        <v>42</v>
      </c>
      <c r="D25" s="15" t="s">
        <v>30</v>
      </c>
      <c r="E25" s="17" t="n">
        <v>100220</v>
      </c>
    </row>
    <row r="26" customFormat="false" ht="15" hidden="false" customHeight="true" outlineLevel="0" collapsed="false">
      <c r="A26" s="15" t="n">
        <v>19</v>
      </c>
      <c r="B26" s="16" t="s">
        <v>37</v>
      </c>
      <c r="C26" s="16" t="s">
        <v>43</v>
      </c>
      <c r="D26" s="15" t="s">
        <v>30</v>
      </c>
      <c r="E26" s="17" t="n">
        <v>15000</v>
      </c>
    </row>
    <row r="27" customFormat="false" ht="15" hidden="false" customHeight="true" outlineLevel="0" collapsed="false">
      <c r="A27" s="15" t="n">
        <v>20</v>
      </c>
      <c r="B27" s="16" t="s">
        <v>44</v>
      </c>
      <c r="C27" s="16" t="s">
        <v>31</v>
      </c>
      <c r="D27" s="15" t="s">
        <v>30</v>
      </c>
      <c r="E27" s="17" t="n">
        <v>17500</v>
      </c>
    </row>
    <row r="28" customFormat="false" ht="15" hidden="false" customHeight="true" outlineLevel="0" collapsed="false">
      <c r="A28" s="15" t="n">
        <v>21</v>
      </c>
      <c r="B28" s="16" t="s">
        <v>44</v>
      </c>
      <c r="C28" s="16" t="s">
        <v>41</v>
      </c>
      <c r="D28" s="15" t="s">
        <v>30</v>
      </c>
      <c r="E28" s="17" t="n">
        <v>44880</v>
      </c>
    </row>
    <row r="29" customFormat="false" ht="15" hidden="false" customHeight="true" outlineLevel="0" collapsed="false">
      <c r="A29" s="15" t="n">
        <v>22</v>
      </c>
      <c r="B29" s="16" t="s">
        <v>44</v>
      </c>
      <c r="C29" s="16" t="s">
        <v>45</v>
      </c>
      <c r="D29" s="15" t="s">
        <v>46</v>
      </c>
      <c r="E29" s="17" t="n">
        <v>74777</v>
      </c>
    </row>
    <row r="30" customFormat="false" ht="15" hidden="false" customHeight="true" outlineLevel="0" collapsed="false">
      <c r="A30" s="15" t="n">
        <v>23</v>
      </c>
      <c r="B30" s="16" t="s">
        <v>47</v>
      </c>
      <c r="C30" s="16" t="s">
        <v>48</v>
      </c>
      <c r="D30" s="15" t="s">
        <v>16</v>
      </c>
      <c r="E30" s="17" t="n">
        <v>263592</v>
      </c>
    </row>
    <row r="31" customFormat="false" ht="15" hidden="false" customHeight="true" outlineLevel="0" collapsed="false">
      <c r="A31" s="15" t="n">
        <v>24</v>
      </c>
      <c r="B31" s="16" t="s">
        <v>49</v>
      </c>
      <c r="C31" s="16" t="s">
        <v>50</v>
      </c>
      <c r="D31" s="15" t="s">
        <v>51</v>
      </c>
      <c r="E31" s="17" t="n">
        <v>274598</v>
      </c>
    </row>
    <row r="32" customFormat="false" ht="15" hidden="false" customHeight="true" outlineLevel="0" collapsed="false">
      <c r="A32" s="14" t="s">
        <v>52</v>
      </c>
      <c r="B32" s="14"/>
      <c r="C32" s="14"/>
      <c r="D32" s="14"/>
      <c r="E32" s="14"/>
    </row>
    <row r="33" customFormat="false" ht="15" hidden="false" customHeight="true" outlineLevel="0" collapsed="false">
      <c r="A33" s="15" t="n">
        <v>25</v>
      </c>
      <c r="B33" s="16" t="s">
        <v>53</v>
      </c>
      <c r="C33" s="16" t="s">
        <v>54</v>
      </c>
      <c r="D33" s="15" t="s">
        <v>16</v>
      </c>
      <c r="E33" s="17" t="n">
        <v>501184</v>
      </c>
    </row>
    <row r="34" customFormat="false" ht="15" hidden="false" customHeight="true" outlineLevel="0" collapsed="false">
      <c r="A34" s="15" t="n">
        <v>26</v>
      </c>
      <c r="B34" s="16" t="s">
        <v>53</v>
      </c>
      <c r="C34" s="16" t="s">
        <v>55</v>
      </c>
      <c r="D34" s="15" t="s">
        <v>30</v>
      </c>
      <c r="E34" s="17" t="n">
        <v>51000</v>
      </c>
    </row>
    <row r="35" customFormat="false" ht="15" hidden="false" customHeight="true" outlineLevel="0" collapsed="false">
      <c r="A35" s="15" t="n">
        <v>27</v>
      </c>
      <c r="B35" s="16" t="s">
        <v>53</v>
      </c>
      <c r="C35" s="16" t="s">
        <v>56</v>
      </c>
      <c r="D35" s="15" t="s">
        <v>30</v>
      </c>
      <c r="E35" s="17" t="n">
        <v>70030</v>
      </c>
    </row>
    <row r="36" customFormat="false" ht="15" hidden="false" customHeight="true" outlineLevel="0" collapsed="false">
      <c r="A36" s="15" t="n">
        <v>28</v>
      </c>
      <c r="B36" s="16" t="s">
        <v>53</v>
      </c>
      <c r="C36" s="16" t="s">
        <v>57</v>
      </c>
      <c r="D36" s="15" t="s">
        <v>32</v>
      </c>
      <c r="E36" s="17" t="n">
        <v>300338</v>
      </c>
    </row>
    <row r="37" customFormat="false" ht="15" hidden="false" customHeight="true" outlineLevel="0" collapsed="false">
      <c r="A37" s="15" t="n">
        <v>29</v>
      </c>
      <c r="B37" s="16" t="s">
        <v>53</v>
      </c>
      <c r="C37" s="16" t="s">
        <v>58</v>
      </c>
      <c r="D37" s="15" t="s">
        <v>32</v>
      </c>
      <c r="E37" s="17" t="n">
        <v>-13820</v>
      </c>
    </row>
    <row r="38" customFormat="false" ht="15" hidden="false" customHeight="true" outlineLevel="0" collapsed="false">
      <c r="A38" s="15" t="n">
        <v>30</v>
      </c>
      <c r="B38" s="16" t="s">
        <v>53</v>
      </c>
      <c r="C38" s="16" t="s">
        <v>59</v>
      </c>
      <c r="D38" s="15" t="s">
        <v>32</v>
      </c>
      <c r="E38" s="17" t="n">
        <v>40500</v>
      </c>
    </row>
    <row r="39" customFormat="false" ht="15" hidden="false" customHeight="true" outlineLevel="0" collapsed="false">
      <c r="A39" s="15" t="n">
        <v>31</v>
      </c>
      <c r="B39" s="16" t="s">
        <v>60</v>
      </c>
      <c r="C39" s="16" t="s">
        <v>61</v>
      </c>
      <c r="D39" s="15" t="s">
        <v>30</v>
      </c>
      <c r="E39" s="17" t="n">
        <v>21500</v>
      </c>
    </row>
    <row r="40" customFormat="false" ht="15" hidden="false" customHeight="true" outlineLevel="0" collapsed="false">
      <c r="A40" s="15" t="n">
        <v>32</v>
      </c>
      <c r="B40" s="16" t="s">
        <v>62</v>
      </c>
      <c r="C40" s="16" t="s">
        <v>63</v>
      </c>
      <c r="D40" s="15" t="s">
        <v>30</v>
      </c>
      <c r="E40" s="17" t="n">
        <v>51700</v>
      </c>
    </row>
    <row r="41" customFormat="false" ht="15" hidden="false" customHeight="true" outlineLevel="0" collapsed="false">
      <c r="A41" s="15" t="n">
        <v>33</v>
      </c>
      <c r="B41" s="16" t="s">
        <v>62</v>
      </c>
      <c r="C41" s="16" t="s">
        <v>64</v>
      </c>
      <c r="D41" s="15" t="s">
        <v>30</v>
      </c>
      <c r="E41" s="17" t="n">
        <v>36900</v>
      </c>
    </row>
    <row r="42" customFormat="false" ht="15" hidden="false" customHeight="true" outlineLevel="0" collapsed="false">
      <c r="A42" s="15" t="n">
        <v>34</v>
      </c>
      <c r="B42" s="16" t="s">
        <v>62</v>
      </c>
      <c r="C42" s="16" t="s">
        <v>65</v>
      </c>
      <c r="D42" s="15" t="s">
        <v>30</v>
      </c>
      <c r="E42" s="17" t="n">
        <v>2400</v>
      </c>
    </row>
    <row r="43" customFormat="false" ht="15" hidden="false" customHeight="true" outlineLevel="0" collapsed="false">
      <c r="A43" s="15" t="n">
        <v>35</v>
      </c>
      <c r="B43" s="16" t="s">
        <v>62</v>
      </c>
      <c r="C43" s="16" t="s">
        <v>66</v>
      </c>
      <c r="D43" s="15" t="s">
        <v>30</v>
      </c>
      <c r="E43" s="17" t="n">
        <v>104010</v>
      </c>
    </row>
    <row r="44" customFormat="false" ht="15" hidden="false" customHeight="true" outlineLevel="0" collapsed="false">
      <c r="A44" s="15" t="n">
        <v>36</v>
      </c>
      <c r="B44" s="16" t="s">
        <v>62</v>
      </c>
      <c r="C44" s="16" t="s">
        <v>67</v>
      </c>
      <c r="D44" s="15" t="s">
        <v>30</v>
      </c>
      <c r="E44" s="17" t="n">
        <v>11990</v>
      </c>
    </row>
    <row r="45" customFormat="false" ht="15" hidden="false" customHeight="true" outlineLevel="0" collapsed="false">
      <c r="A45" s="15" t="n">
        <v>37</v>
      </c>
      <c r="B45" s="16" t="s">
        <v>62</v>
      </c>
      <c r="C45" s="16" t="s">
        <v>68</v>
      </c>
      <c r="D45" s="15" t="s">
        <v>30</v>
      </c>
      <c r="E45" s="17" t="n">
        <v>267980</v>
      </c>
    </row>
    <row r="46" customFormat="false" ht="15" hidden="false" customHeight="true" outlineLevel="0" collapsed="false">
      <c r="A46" s="15" t="n">
        <v>38</v>
      </c>
      <c r="B46" s="16" t="s">
        <v>62</v>
      </c>
      <c r="C46" s="16" t="s">
        <v>69</v>
      </c>
      <c r="D46" s="15" t="s">
        <v>30</v>
      </c>
      <c r="E46" s="17" t="n">
        <v>91940</v>
      </c>
    </row>
    <row r="47" customFormat="false" ht="15" hidden="false" customHeight="true" outlineLevel="0" collapsed="false">
      <c r="A47" s="15" t="n">
        <v>39</v>
      </c>
      <c r="B47" s="16" t="s">
        <v>62</v>
      </c>
      <c r="C47" s="16" t="s">
        <v>69</v>
      </c>
      <c r="D47" s="15" t="s">
        <v>30</v>
      </c>
      <c r="E47" s="17" t="n">
        <v>633950</v>
      </c>
    </row>
    <row r="48" customFormat="false" ht="15" hidden="false" customHeight="true" outlineLevel="0" collapsed="false">
      <c r="A48" s="15" t="n">
        <v>40</v>
      </c>
      <c r="B48" s="16" t="s">
        <v>70</v>
      </c>
      <c r="C48" s="16" t="s">
        <v>29</v>
      </c>
      <c r="D48" s="15" t="s">
        <v>30</v>
      </c>
      <c r="E48" s="17" t="n">
        <v>100311</v>
      </c>
    </row>
    <row r="49" customFormat="false" ht="15" hidden="false" customHeight="true" outlineLevel="0" collapsed="false">
      <c r="A49" s="15" t="n">
        <v>41</v>
      </c>
      <c r="B49" s="16" t="s">
        <v>70</v>
      </c>
      <c r="C49" s="16" t="s">
        <v>71</v>
      </c>
      <c r="D49" s="15" t="s">
        <v>30</v>
      </c>
      <c r="E49" s="17" t="n">
        <v>111650</v>
      </c>
    </row>
    <row r="50" customFormat="false" ht="15" hidden="false" customHeight="true" outlineLevel="0" collapsed="false">
      <c r="A50" s="15" t="n">
        <v>42</v>
      </c>
      <c r="B50" s="16" t="s">
        <v>70</v>
      </c>
      <c r="C50" s="16" t="s">
        <v>72</v>
      </c>
      <c r="D50" s="15" t="s">
        <v>30</v>
      </c>
      <c r="E50" s="17" t="n">
        <v>15000</v>
      </c>
    </row>
    <row r="51" customFormat="false" ht="15" hidden="false" customHeight="true" outlineLevel="0" collapsed="false">
      <c r="A51" s="14" t="s">
        <v>73</v>
      </c>
      <c r="B51" s="14"/>
      <c r="C51" s="14"/>
      <c r="D51" s="14"/>
      <c r="E51" s="14"/>
    </row>
    <row r="52" customFormat="false" ht="15" hidden="false" customHeight="true" outlineLevel="0" collapsed="false">
      <c r="A52" s="15" t="n">
        <v>43</v>
      </c>
      <c r="B52" s="16" t="s">
        <v>74</v>
      </c>
      <c r="C52" s="16" t="s">
        <v>75</v>
      </c>
      <c r="D52" s="15" t="s">
        <v>32</v>
      </c>
      <c r="E52" s="17" t="n">
        <v>15120</v>
      </c>
    </row>
    <row r="53" customFormat="false" ht="15" hidden="false" customHeight="true" outlineLevel="0" collapsed="false">
      <c r="A53" s="15" t="n">
        <v>44</v>
      </c>
      <c r="B53" s="16" t="s">
        <v>74</v>
      </c>
      <c r="C53" s="16" t="s">
        <v>76</v>
      </c>
      <c r="D53" s="15" t="s">
        <v>32</v>
      </c>
      <c r="E53" s="17" t="n">
        <v>21500</v>
      </c>
    </row>
    <row r="54" customFormat="false" ht="15" hidden="false" customHeight="true" outlineLevel="0" collapsed="false">
      <c r="A54" s="15" t="n">
        <v>45</v>
      </c>
      <c r="B54" s="16" t="s">
        <v>77</v>
      </c>
      <c r="C54" s="16" t="s">
        <v>66</v>
      </c>
      <c r="D54" s="15" t="s">
        <v>32</v>
      </c>
      <c r="E54" s="17" t="n">
        <v>6990</v>
      </c>
    </row>
    <row r="55" customFormat="false" ht="15" hidden="false" customHeight="true" outlineLevel="0" collapsed="false">
      <c r="A55" s="15" t="n">
        <v>46</v>
      </c>
      <c r="B55" s="16" t="s">
        <v>77</v>
      </c>
      <c r="C55" s="16" t="s">
        <v>78</v>
      </c>
      <c r="D55" s="15" t="s">
        <v>32</v>
      </c>
      <c r="E55" s="17" t="n">
        <v>4690</v>
      </c>
    </row>
    <row r="56" customFormat="false" ht="15" hidden="false" customHeight="true" outlineLevel="0" collapsed="false">
      <c r="A56" s="15" t="n">
        <v>47</v>
      </c>
      <c r="B56" s="16" t="s">
        <v>79</v>
      </c>
      <c r="C56" s="16" t="s">
        <v>80</v>
      </c>
      <c r="D56" s="15" t="s">
        <v>32</v>
      </c>
      <c r="E56" s="17" t="n">
        <v>88000</v>
      </c>
    </row>
    <row r="57" customFormat="false" ht="15" hidden="false" customHeight="true" outlineLevel="0" collapsed="false">
      <c r="A57" s="15" t="n">
        <v>48</v>
      </c>
      <c r="B57" s="16" t="s">
        <v>79</v>
      </c>
      <c r="C57" s="16" t="s">
        <v>81</v>
      </c>
      <c r="D57" s="15" t="s">
        <v>32</v>
      </c>
      <c r="E57" s="17" t="n">
        <v>21500</v>
      </c>
    </row>
    <row r="58" customFormat="false" ht="15" hidden="false" customHeight="true" outlineLevel="0" collapsed="false">
      <c r="A58" s="15" t="n">
        <v>49</v>
      </c>
      <c r="B58" s="16" t="s">
        <v>79</v>
      </c>
      <c r="C58" s="16" t="s">
        <v>45</v>
      </c>
      <c r="D58" s="15" t="s">
        <v>46</v>
      </c>
      <c r="E58" s="17" t="n">
        <v>64309</v>
      </c>
    </row>
    <row r="59" customFormat="false" ht="15.75" hidden="false" customHeight="true" outlineLevel="0" collapsed="false">
      <c r="A59" s="18" t="s">
        <v>82</v>
      </c>
      <c r="B59" s="18"/>
      <c r="C59" s="18"/>
      <c r="D59" s="18"/>
      <c r="E59" s="12" t="n">
        <f aca="false">SUM(E5:E58)</f>
        <v>6448881</v>
      </c>
    </row>
  </sheetData>
  <mergeCells count="8">
    <mergeCell ref="A1:E1"/>
    <mergeCell ref="A4:E4"/>
    <mergeCell ref="A8:E8"/>
    <mergeCell ref="A11:E11"/>
    <mergeCell ref="A19:E19"/>
    <mergeCell ref="A32:E32"/>
    <mergeCell ref="A51:E51"/>
    <mergeCell ref="A59:D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8B6B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83</v>
      </c>
      <c r="B1" s="2"/>
      <c r="C1" s="2"/>
    </row>
    <row r="3" customFormat="false" ht="15" hidden="false" customHeight="true" outlineLevel="0" collapsed="false">
      <c r="A3" s="3" t="s">
        <v>84</v>
      </c>
      <c r="B3" s="3"/>
      <c r="C3" s="3"/>
    </row>
    <row r="5" customFormat="false" ht="15" hidden="false" customHeight="true" outlineLevel="0" collapsed="false">
      <c r="A5" s="13" t="s">
        <v>8</v>
      </c>
      <c r="B5" s="13" t="s">
        <v>10</v>
      </c>
      <c r="C5" s="13" t="s">
        <v>12</v>
      </c>
    </row>
    <row r="6" customFormat="false" ht="15" hidden="false" customHeight="true" outlineLevel="0" collapsed="false">
      <c r="A6" s="19" t="n">
        <v>1</v>
      </c>
      <c r="B6" s="20" t="s">
        <v>85</v>
      </c>
      <c r="C6" s="21" t="n">
        <v>12206287</v>
      </c>
    </row>
    <row r="8" customFormat="false" ht="15.75" hidden="false" customHeight="true" outlineLevel="0" collapsed="false">
      <c r="A8" s="18" t="s">
        <v>86</v>
      </c>
      <c r="B8" s="18"/>
      <c r="C8" s="12" t="n">
        <f aca="false">C6</f>
        <v>12206287</v>
      </c>
    </row>
  </sheetData>
  <mergeCells count="3">
    <mergeCell ref="A1:C1"/>
    <mergeCell ref="A3:C3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2026-04-07T15:53:56Z</dcterms:created>
  <dc:creator>openpyxl</dc:creator>
  <dc:description/>
  <dc:language>en-US</dc:language>
  <cp:lastModifiedBy/>
  <dcterms:modified xsi:type="dcterms:W3CDTF">2026-04-07T15:54:18Z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